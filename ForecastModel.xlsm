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s Astrup\Desktop\"/>
    </mc:Choice>
  </mc:AlternateContent>
  <xr:revisionPtr revIDLastSave="0" documentId="13_ncr:1_{9B3D016B-154B-443F-9AB8-239AE6ECE443}" xr6:coauthVersionLast="41" xr6:coauthVersionMax="41" xr10:uidLastSave="{00000000-0000-0000-0000-000000000000}"/>
  <bookViews>
    <workbookView xWindow="-120" yWindow="-120" windowWidth="20730" windowHeight="11760" xr2:uid="{E51ABC52-AD0C-4A05-AC00-6903F93B631D}"/>
  </bookViews>
  <sheets>
    <sheet name="Command" sheetId="1" r:id="rId1"/>
    <sheet name="Solver" sheetId="71" r:id="rId2"/>
  </sheets>
  <definedNames>
    <definedName name="_xlnm._FilterDatabase" localSheetId="0" hidden="1">Command!$H$2:$J$12</definedName>
    <definedName name="_xlnm.Criteria" localSheetId="0">Command!$I$1:$I$12</definedName>
    <definedName name="solver_adj" localSheetId="0" hidden="1">Command!$O$2:$O$8</definedName>
    <definedName name="solver_adj" localSheetId="1" hidden="1">Solver!$J$2:$J$8</definedName>
    <definedName name="solver_cvg" localSheetId="0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1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0" hidden="1">2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lhs1" localSheetId="0" hidden="1">Command!$O$9</definedName>
    <definedName name="solver_lhs1" localSheetId="1" hidden="1">Solver!$J$12</definedName>
    <definedName name="solver_lhs10" localSheetId="1" hidden="1">Solver!$J$12</definedName>
    <definedName name="solver_lhs11" localSheetId="1" hidden="1">Solver!$J$12</definedName>
    <definedName name="solver_lhs12" localSheetId="1" hidden="1">Solver!$J$12</definedName>
    <definedName name="solver_lhs13" localSheetId="1" hidden="1">Solver!$J$12</definedName>
    <definedName name="solver_lhs14" localSheetId="1" hidden="1">Solver!$J$2:$J$8</definedName>
    <definedName name="solver_lhs15" localSheetId="1" hidden="1">Solver!$J$12</definedName>
    <definedName name="solver_lhs16" localSheetId="1" hidden="1">Solver!$J$2:$J$8</definedName>
    <definedName name="solver_lhs17" localSheetId="1" hidden="1">Solver!$J$2:$J$8</definedName>
    <definedName name="solver_lhs18" localSheetId="1" hidden="1">Solver!$J$2:$J$8</definedName>
    <definedName name="solver_lhs19" localSheetId="1" hidden="1">Solver!$J$2:$J$8</definedName>
    <definedName name="solver_lhs2" localSheetId="0" hidden="1">Command!$O$9</definedName>
    <definedName name="solver_lhs2" localSheetId="1" hidden="1">Solver!$J$2:$J$8</definedName>
    <definedName name="solver_lhs20" localSheetId="1" hidden="1">Solver!$J$2:$J$8</definedName>
    <definedName name="solver_lhs21" localSheetId="1" hidden="1">Solver!$J$2:$J$8</definedName>
    <definedName name="solver_lhs22" localSheetId="1" hidden="1">Solver!$J$2:$J$8</definedName>
    <definedName name="solver_lhs23" localSheetId="1" hidden="1">Solver!$J$2:$J$8</definedName>
    <definedName name="solver_lhs24" localSheetId="1" hidden="1">Solver!$J$2:$J$8</definedName>
    <definedName name="solver_lhs25" localSheetId="1" hidden="1">Solver!$J$2:$J$8</definedName>
    <definedName name="solver_lhs26" localSheetId="1" hidden="1">Solver!$J$2:$J$8</definedName>
    <definedName name="solver_lhs27" localSheetId="1" hidden="1">Solver!$J$2:$J$8</definedName>
    <definedName name="solver_lhs3" localSheetId="0" hidden="1">Command!$J$9</definedName>
    <definedName name="solver_lhs3" localSheetId="1" hidden="1">Solver!$J$12</definedName>
    <definedName name="solver_lhs4" localSheetId="0" hidden="1">Command!$J$9</definedName>
    <definedName name="solver_lhs4" localSheetId="1" hidden="1">Solver!$J$12</definedName>
    <definedName name="solver_lhs5" localSheetId="0" hidden="1">Command!$J$9</definedName>
    <definedName name="solver_lhs5" localSheetId="1" hidden="1">Solver!$J$12</definedName>
    <definedName name="solver_lhs6" localSheetId="0" hidden="1">Command!$J$9</definedName>
    <definedName name="solver_lhs6" localSheetId="1" hidden="1">Solver!$J$12</definedName>
    <definedName name="solver_lhs7" localSheetId="0" hidden="1">Command!$J$9</definedName>
    <definedName name="solver_lhs7" localSheetId="1" hidden="1">Solver!$J$12</definedName>
    <definedName name="solver_lhs8" localSheetId="0" hidden="1">Command!$J$9</definedName>
    <definedName name="solver_lhs8" localSheetId="1" hidden="1">Solver!$J$12</definedName>
    <definedName name="solver_lhs9" localSheetId="1" hidden="1">Solver!$J$12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1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1</definedName>
    <definedName name="solver_num" localSheetId="1" hidden="1">2</definedName>
    <definedName name="solver_nwt" localSheetId="0" hidden="1">1</definedName>
    <definedName name="solver_nwt" localSheetId="1" hidden="1">1</definedName>
    <definedName name="solver_opt" localSheetId="0" hidden="1">Command!$M$13</definedName>
    <definedName name="solver_opt" localSheetId="1" hidden="1">Solver!$L$12</definedName>
    <definedName name="solver_pre" localSheetId="0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1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0" hidden="1">2</definedName>
    <definedName name="solver_rbv" localSheetId="1" hidden="1">1</definedName>
    <definedName name="solver_rel1" localSheetId="0" hidden="1">2</definedName>
    <definedName name="solver_rel1" localSheetId="1" hidden="1">2</definedName>
    <definedName name="solver_rel10" localSheetId="1" hidden="1">2</definedName>
    <definedName name="solver_rel11" localSheetId="1" hidden="1">2</definedName>
    <definedName name="solver_rel12" localSheetId="1" hidden="1">2</definedName>
    <definedName name="solver_rel13" localSheetId="1" hidden="1">2</definedName>
    <definedName name="solver_rel14" localSheetId="1" hidden="1">4</definedName>
    <definedName name="solver_rel15" localSheetId="1" hidden="1">2</definedName>
    <definedName name="solver_rel16" localSheetId="1" hidden="1">4</definedName>
    <definedName name="solver_rel17" localSheetId="1" hidden="1">4</definedName>
    <definedName name="solver_rel18" localSheetId="1" hidden="1">4</definedName>
    <definedName name="solver_rel19" localSheetId="1" hidden="1">4</definedName>
    <definedName name="solver_rel2" localSheetId="0" hidden="1">2</definedName>
    <definedName name="solver_rel2" localSheetId="1" hidden="1">4</definedName>
    <definedName name="solver_rel20" localSheetId="1" hidden="1">4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4</definedName>
    <definedName name="solver_rel27" localSheetId="1" hidden="1">4</definedName>
    <definedName name="solver_rel3" localSheetId="0" hidden="1">2</definedName>
    <definedName name="solver_rel3" localSheetId="1" hidden="1">2</definedName>
    <definedName name="solver_rel4" localSheetId="0" hidden="1">2</definedName>
    <definedName name="solver_rel4" localSheetId="1" hidden="1">2</definedName>
    <definedName name="solver_rel5" localSheetId="0" hidden="1">2</definedName>
    <definedName name="solver_rel5" localSheetId="1" hidden="1">2</definedName>
    <definedName name="solver_rel6" localSheetId="0" hidden="1">2</definedName>
    <definedName name="solver_rel6" localSheetId="1" hidden="1">2</definedName>
    <definedName name="solver_rel7" localSheetId="0" hidden="1">2</definedName>
    <definedName name="solver_rel7" localSheetId="1" hidden="1">2</definedName>
    <definedName name="solver_rel8" localSheetId="0" hidden="1">2</definedName>
    <definedName name="solver_rel8" localSheetId="1" hidden="1">2</definedName>
    <definedName name="solver_rel9" localSheetId="1" hidden="1">2</definedName>
    <definedName name="solver_rhs1" localSheetId="0" hidden="1">1000</definedName>
    <definedName name="solver_rhs1" localSheetId="1" hidden="1">1000</definedName>
    <definedName name="solver_rhs10" localSheetId="1" hidden="1">1000</definedName>
    <definedName name="solver_rhs11" localSheetId="1" hidden="1">1000</definedName>
    <definedName name="solver_rhs12" localSheetId="1" hidden="1">1000</definedName>
    <definedName name="solver_rhs13" localSheetId="1" hidden="1">1000</definedName>
    <definedName name="solver_rhs14" localSheetId="1" hidden="1">heltal</definedName>
    <definedName name="solver_rhs15" localSheetId="1" hidden="1">1000</definedName>
    <definedName name="solver_rhs16" localSheetId="1" hidden="1">heltal</definedName>
    <definedName name="solver_rhs17" localSheetId="1" hidden="1">heltal</definedName>
    <definedName name="solver_rhs18" localSheetId="1" hidden="1">heltal</definedName>
    <definedName name="solver_rhs19" localSheetId="1" hidden="1">heltal</definedName>
    <definedName name="solver_rhs2" localSheetId="0" hidden="1">1000</definedName>
    <definedName name="solver_rhs2" localSheetId="1" hidden="1">heltal</definedName>
    <definedName name="solver_rhs20" localSheetId="1" hidden="1">heltal</definedName>
    <definedName name="solver_rhs21" localSheetId="1" hidden="1">heltal</definedName>
    <definedName name="solver_rhs22" localSheetId="1" hidden="1">heltal</definedName>
    <definedName name="solver_rhs23" localSheetId="1" hidden="1">heltal</definedName>
    <definedName name="solver_rhs24" localSheetId="1" hidden="1">heltal</definedName>
    <definedName name="solver_rhs25" localSheetId="1" hidden="1">heltal</definedName>
    <definedName name="solver_rhs26" localSheetId="1" hidden="1">heltal</definedName>
    <definedName name="solver_rhs27" localSheetId="1" hidden="1">heltal</definedName>
    <definedName name="solver_rhs3" localSheetId="0" hidden="1">1000</definedName>
    <definedName name="solver_rhs3" localSheetId="1" hidden="1">1000</definedName>
    <definedName name="solver_rhs4" localSheetId="0" hidden="1">1000</definedName>
    <definedName name="solver_rhs4" localSheetId="1" hidden="1">1000</definedName>
    <definedName name="solver_rhs5" localSheetId="0" hidden="1">1000</definedName>
    <definedName name="solver_rhs5" localSheetId="1" hidden="1">1000</definedName>
    <definedName name="solver_rhs6" localSheetId="0" hidden="1">1000</definedName>
    <definedName name="solver_rhs6" localSheetId="1" hidden="1">1000</definedName>
    <definedName name="solver_rhs7" localSheetId="0" hidden="1">1000</definedName>
    <definedName name="solver_rhs7" localSheetId="1" hidden="1">1000</definedName>
    <definedName name="solver_rhs8" localSheetId="0" hidden="1">1000</definedName>
    <definedName name="solver_rhs8" localSheetId="1" hidden="1">1000</definedName>
    <definedName name="solver_rhs9" localSheetId="1" hidden="1">1000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2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1</definedName>
    <definedName name="solver_tol" localSheetId="1" hidden="1">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Lager_df46f00d-bd0a-46de-8159-54eb4ef77d90" name="vLager" connection="Query - vLager"/>
          <x15:modelTable id="vLagerBeholdning_372f38cb-3993-4d9d-a6d4-d2219e043a02" name="vLagerBeholdning" connection="Query - vLagerBeholdning"/>
          <x15:modelTable id="vSalgsOrdre_c6955268-5068-4f72-851a-abe4f7bd8268" name="vSalgsOrdre" connection="Query - vSalgsOrdre"/>
          <x15:modelTable id="vKoebsOrdre_9c828220-bcbc-4c80-961a-3f84d7042a99" name="vKoebsOrdre" connection="Query - vKoebsOrdr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2" i="71" l="1"/>
  <c r="L3" i="71"/>
  <c r="L4" i="71"/>
  <c r="L5" i="71"/>
  <c r="L6" i="71"/>
  <c r="L7" i="71"/>
  <c r="L8" i="71"/>
  <c r="L2" i="71"/>
  <c r="L12" i="7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476340-AB25-4E16-B1FA-8F3F8322C381}" name="Query - vKoebsOrdre" description="Connection to the 'vKoebsOrdre' query in the workbook." type="100" refreshedVersion="6" minRefreshableVersion="5">
    <extLst>
      <ext xmlns:x15="http://schemas.microsoft.com/office/spreadsheetml/2010/11/main" uri="{DE250136-89BD-433C-8126-D09CA5730AF9}">
        <x15:connection id="b95ca7f1-4dab-4d45-8264-67caebf366bf"/>
      </ext>
    </extLst>
  </connection>
  <connection id="2" xr16:uid="{131786AA-BAB2-4CB8-8911-7C200A057477}" name="Query - vLager" description="Connection to the 'vLager' query in the workbook." type="100" refreshedVersion="6" minRefreshableVersion="5">
    <extLst>
      <ext xmlns:x15="http://schemas.microsoft.com/office/spreadsheetml/2010/11/main" uri="{DE250136-89BD-433C-8126-D09CA5730AF9}">
        <x15:connection id="3089b580-0f54-47e0-bac5-d9ee908242fa"/>
      </ext>
    </extLst>
  </connection>
  <connection id="3" xr16:uid="{09EFACCA-C92E-4425-99BB-C8B18AEC1B54}" name="Query - vLagerBeholdning" description="Connection to the 'vLagerBeholdning' query in the workbook." type="100" refreshedVersion="6" minRefreshableVersion="5">
    <extLst>
      <ext xmlns:x15="http://schemas.microsoft.com/office/spreadsheetml/2010/11/main" uri="{DE250136-89BD-433C-8126-D09CA5730AF9}">
        <x15:connection id="13d20049-1f32-456e-9a1e-f7cc2d46e5b2"/>
      </ext>
    </extLst>
  </connection>
  <connection id="4" xr16:uid="{C66C8C8B-A351-4DB7-B636-16CAEC668FC0}" name="Query - vSalgsOrdre" description="Connection to the 'vSalgsOrdre' query in the workbook." type="100" refreshedVersion="6" minRefreshableVersion="5">
    <extLst>
      <ext xmlns:x15="http://schemas.microsoft.com/office/spreadsheetml/2010/11/main" uri="{DE250136-89BD-433C-8126-D09CA5730AF9}">
        <x15:connection id="18817e8f-b57f-4818-9b5b-72d5fc4ba4e5"/>
      </ext>
    </extLst>
  </connection>
  <connection id="5" xr16:uid="{21D0E203-9085-4190-96FE-E4B611EEAAF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6" xr16:uid="{E455CCE8-C7B2-42EC-B950-CB859691DFD3}" keepAlive="1" name="ThisWorkbookDataModel1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13D36164-9ADC-4405-BCAE-A8FACF477707}" keepAlive="1" name="ThisWorkbookDataModel10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D5E994DD-A466-4248-8F0B-C09F7704F6BC}" keepAlive="1" name="ThisWorkbookDataModel11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AA93DE04-6F0D-4425-81B7-C28F472E6355}" keepAlive="1" name="ThisWorkbookDataModel12" description="Data 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92611AE1-3758-4D25-A62E-3A0F12DF4F5E}" keepAlive="1" name="ThisWorkbookDataModel13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11" xr16:uid="{644890A4-BB24-4E5F-958B-67C43B728ACC}" keepAlive="1" name="ThisWorkbookDataModel14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12" xr16:uid="{38FF0A4D-4179-4412-B692-219669B566C5}" keepAlive="1" name="ThisWorkbookDataModel15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13" xr16:uid="{8C4B6F8A-77CB-4C4A-9271-7328474EFA2C}" keepAlive="1" name="ThisWorkbookDataModel16" description="Data 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14" xr16:uid="{61D4BFD0-4308-4756-AD23-7DD5EB6EA003}" keepAlive="1" name="ThisWorkbookDataModel17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15" xr16:uid="{B504CFA2-2006-4715-8DDA-86B1B0F556A4}" keepAlive="1" name="ThisWorkbookDataModel18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16" xr16:uid="{45521702-720D-49E7-AC57-BE39D75BE436}" keepAlive="1" name="ThisWorkbookDataModel19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17" xr16:uid="{4E49C2BB-0AE3-4C69-883A-C33EDD160444}" keepAlive="1" name="ThisWorkbookDataModel2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18" xr16:uid="{7AE3D0E4-5E1A-45D6-8021-54BA868D995E}" keepAlive="1" name="ThisWorkbookDataModel20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19" xr16:uid="{16273DDF-18FF-4DD8-A393-376A069FB7EB}" keepAlive="1" name="ThisWorkbookDataModel21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20" xr16:uid="{98FD1CFF-A809-4A7E-834C-14590E6CAE1D}" keepAlive="1" name="ThisWorkbookDataModel22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21" xr16:uid="{90B982B7-14F6-4A2A-8B79-4E37E2A76D31}" keepAlive="1" name="ThisWorkbookDataModel23" description="Data 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22" xr16:uid="{650F265F-A414-4373-BB6D-D89F3D3305EC}" keepAlive="1" name="ThisWorkbookDataModel24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23" xr16:uid="{9E3AD1FB-80CD-4A75-B978-5AB4764C0F4E}" keepAlive="1" name="ThisWorkbookDataModel25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24" xr16:uid="{BC56ACEC-3723-4082-B60E-9810A8ACC309}" keepAlive="1" name="ThisWorkbookDataModel26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25" xr16:uid="{BE4207B8-C75F-4B17-845A-ADBBA3891CEE}" keepAlive="1" name="ThisWorkbookDataModel27" description="Data 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26" xr16:uid="{BA7047E0-2827-45BF-9D78-D749995257BD}" keepAlive="1" name="ThisWorkbookDataModel28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27" xr16:uid="{7640FD23-6949-4C5C-ACE0-9228F71CA51A}" keepAlive="1" name="ThisWorkbookDataModel29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28" xr16:uid="{46FC9F6A-DD08-481C-9DB4-88F55A7A8E29}" keepAlive="1" name="ThisWorkbookDataModel3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29" xr16:uid="{4F3743AF-64ED-4A3E-9203-2E20354AB902}" keepAlive="1" name="ThisWorkbookDataModel30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30" xr16:uid="{9FFFDF5A-4DC1-456E-89A4-0AD30E41BD01}" keepAlive="1" name="ThisWorkbookDataModel31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31" xr16:uid="{D88FD0F0-5BEB-44BF-97EC-BD0A02224245}" keepAlive="1" name="ThisWorkbookDataModel32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32" xr16:uid="{B3EA3190-A08F-437D-98D4-92350EBB6F58}" keepAlive="1" name="ThisWorkbookDataModel33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33" xr16:uid="{2A050DEE-7F3F-4A3B-8957-6B6F470A7B79}" keepAlive="1" name="ThisWorkbookDataModel34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34" xr16:uid="{65BAFBF5-334B-4F01-A1C3-641C68CF1F26}" keepAlive="1" name="ThisWorkbookDataModel35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35" xr16:uid="{4B83ACEE-5D95-47BC-A242-2B95AB5F3854}" keepAlive="1" name="ThisWorkbookDataModel36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36" xr16:uid="{FA1838BE-9C98-4772-AD04-5C360D7AF8E4}" keepAlive="1" name="ThisWorkbookDataModel37" description="Data 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37" xr16:uid="{31B6B658-F549-4E44-B5BA-32DE2285826C}" keepAlive="1" name="ThisWorkbookDataModel38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38" xr16:uid="{9B7F4032-D2F5-4B83-BBBE-0B847CB5FABE}" keepAlive="1" name="ThisWorkbookDataModel39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39" xr16:uid="{9944955D-BAF4-4D2A-A1CB-7E8508425C76}" keepAlive="1" name="ThisWorkbookDataModel4" description="Data 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40" xr16:uid="{C65A0552-1AE6-4769-B074-BCAAA183B766}" keepAlive="1" name="ThisWorkbookDataModel40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41" xr16:uid="{46982783-A2F7-446A-B63E-D932E12E7614}" keepAlive="1" name="ThisWorkbookDataModel41" description="Data 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42" xr16:uid="{733957E0-78C1-4B44-867E-829F2D599D88}" keepAlive="1" name="ThisWorkbookDataModel42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43" xr16:uid="{ADE03D02-859C-4203-85DD-D294523437CD}" keepAlive="1" name="ThisWorkbookDataModel43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44" xr16:uid="{3F73B78A-EC7E-4C6F-B9C2-44DF9844509B}" keepAlive="1" name="ThisWorkbookDataModel44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45" xr16:uid="{093F40DF-41F3-4D75-96C6-15910307DF57}" keepAlive="1" name="ThisWorkbookDataModel45" description="Data 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46" xr16:uid="{153DB649-AAD5-4803-8E53-661B7121E49D}" keepAlive="1" name="ThisWorkbookDataModel5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47" xr16:uid="{871FBA87-C895-4DAB-B4BC-2B439755C584}" keepAlive="1" name="ThisWorkbookDataModel6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48" xr16:uid="{7280A443-FA74-4CF2-89C5-2BBE0D9BD20E}" keepAlive="1" name="ThisWorkbookDataModel7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49" xr16:uid="{492EC533-709E-464A-BF13-FC6B7B4E4F75}" keepAlive="1" name="ThisWorkbookDataModel8" description="Data 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50" xr16:uid="{F36CD243-85B8-4D44-B249-06075B7DE8FA}" keepAlive="1" name="ThisWorkbookDataModel9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<sst xmlns="http://schemas.openxmlformats.org/spreadsheetml/2006/main" count="23" uniqueCount="23">
  <si>
    <t>Item No_</t>
  </si>
  <si>
    <t>2XL</t>
  </si>
  <si>
    <t>XL</t>
  </si>
  <si>
    <t>L</t>
  </si>
  <si>
    <t>M</t>
  </si>
  <si>
    <t>3XL</t>
  </si>
  <si>
    <t>4XL</t>
  </si>
  <si>
    <t>S</t>
  </si>
  <si>
    <t>last Update</t>
  </si>
  <si>
    <t>Required stock % of yearly sales</t>
  </si>
  <si>
    <t>Morph from</t>
  </si>
  <si>
    <t>Morph to</t>
  </si>
  <si>
    <t>Delevery time in weeks</t>
  </si>
  <si>
    <t>Forecast duration in weeks</t>
  </si>
  <si>
    <t>ItemID</t>
  </si>
  <si>
    <t>ColID</t>
  </si>
  <si>
    <t>Week until purchase time</t>
  </si>
  <si>
    <t>This Sheet requires the Solver add-in to be installed and for it to be allowed in VBA</t>
  </si>
  <si>
    <t>For solver add-in check google</t>
  </si>
  <si>
    <t>in VBA go alt+f11 -&gt; Tools -&gt; references  and click the Solver box</t>
  </si>
  <si>
    <t>Sheet needs to have macros enabled and the excel has to be set up to the SQL server</t>
  </si>
  <si>
    <t>not today.</t>
  </si>
  <si>
    <t>Purchase 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</si>
</sst>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indexed="1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0" xfId="0" quotePrefix="1"/>
    <xf numFmtId="0" fontId="0" fillId="3" borderId="0" xfId="0" applyFill="1"/>
    <xf numFmtId="0" fontId="0" fillId="0" borderId="0" xfId="0" applyFill="1"/>
    <xf numFmtId="0" fontId="0" fillId="0" borderId="0" xfId="0" applyFill="1" applyBorder="1"/>
    <xf numFmtId="0" fontId="0" fillId="0" borderId="3" xfId="0" applyFill="1" applyBorder="1"/>
    <xf numFmtId="0" fontId="0" fillId="0" borderId="3" xfId="0" applyBorder="1"/>
    <xf numFmtId="0" fontId="0" fillId="0" borderId="4" xfId="0" applyFill="1" applyBorder="1"/>
    <xf numFmtId="0" fontId="0" fillId="0" borderId="4" xfId="0" applyBorder="1"/>
    <xf numFmtId="0" fontId="0" fillId="0" borderId="5" xfId="0" applyBorder="1"/>
    <xf numFmtId="0" fontId="0" fillId="0" borderId="5" xfId="0" applyFill="1" applyBorder="1"/>
    <xf numFmtId="0" fontId="0" fillId="0" borderId="6" xfId="0" applyFill="1" applyBorder="1"/>
    <xf numFmtId="0" fontId="0" fillId="0" borderId="6" xfId="0" applyBorder="1"/>
    <xf numFmtId="1" fontId="0" fillId="0" borderId="5" xfId="0" applyNumberFormat="1" applyBorder="1"/>
    <xf numFmtId="1" fontId="0" fillId="0" borderId="5" xfId="0" applyNumberFormat="1" applyFill="1" applyBorder="1"/>
    <xf numFmtId="1" fontId="0" fillId="0" borderId="6" xfId="0" applyNumberFormat="1" applyFill="1" applyBorder="1"/>
    <xf numFmtId="1" fontId="0" fillId="0" borderId="6" xfId="0" applyNumberFormat="1" applyBorder="1"/>
    <xf numFmtId="0" fontId="1" fillId="2" borderId="7" xfId="0" applyFont="1" applyFill="1" applyBorder="1"/>
    <xf numFmtId="0" fontId="1" fillId="2" borderId="8" xfId="0" applyFont="1" applyFill="1" applyBorder="1"/>
    <xf numFmtId="14" fontId="0" fillId="0" borderId="9" xfId="0" applyNumberFormat="1" applyBorder="1"/>
    <xf numFmtId="0" fontId="0" fillId="0" borderId="9" xfId="0" applyNumberFormat="1" applyBorder="1"/>
    <xf numFmtId="0" fontId="0" fillId="0" borderId="9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9525</xdr:rowOff>
        </xdr:from>
        <xdr:to>
          <xdr:col>2</xdr:col>
          <xdr:colOff>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2</xdr:col>
          <xdr:colOff>9525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Morphing Data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180975</xdr:rowOff>
        </xdr:from>
        <xdr:to>
          <xdr:col>2</xdr:col>
          <xdr:colOff>9525</xdr:colOff>
          <xdr:row>8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Setting up Stocksheet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</xdr:row>
          <xdr:rowOff>0</xdr:rowOff>
        </xdr:from>
        <xdr:to>
          <xdr:col>2</xdr:col>
          <xdr:colOff>9525</xdr:colOff>
          <xdr:row>12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Setting up Modelsheet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9525</xdr:rowOff>
        </xdr:from>
        <xdr:to>
          <xdr:col>2</xdr:col>
          <xdr:colOff>9525</xdr:colOff>
          <xdr:row>15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Forecast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5</xdr:row>
          <xdr:rowOff>9525</xdr:rowOff>
        </xdr:from>
        <xdr:to>
          <xdr:col>2</xdr:col>
          <xdr:colOff>0</xdr:colOff>
          <xdr:row>6</xdr:row>
          <xdr:rowOff>180975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Stock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171450</xdr:rowOff>
        </xdr:from>
        <xdr:to>
          <xdr:col>1</xdr:col>
          <xdr:colOff>600075</xdr:colOff>
          <xdr:row>10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Solver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9525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Items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6FCB8-54EC-4252-966B-4A1D18C416C5}">
  <sheetPr codeName="Sheet1"/>
  <dimension ref="A1:O19"/>
  <sheetViews>
    <sheetView tabSelected="1" workbookViewId="0">
      <selection activeCell="C4" sqref="C4"/>
    </sheetView>
  </sheetViews>
  <sheetFormatPr defaultRowHeight="15" x14ac:dyDescent="0.25"/>
  <cols>
    <col min="1" max="1" width="11.7109375" customWidth="1"/>
    <col min="2" max="2" width="9.7109375" customWidth="1"/>
    <col min="3" max="3" width="29.85546875" bestFit="1" customWidth="1"/>
    <col min="4" max="4" width="22.28515625" bestFit="1" customWidth="1"/>
    <col min="5" max="5" width="10" bestFit="1" customWidth="1"/>
    <col min="6" max="6" width="12.140625" bestFit="1" customWidth="1"/>
    <col min="7" max="8" width="10" bestFit="1" customWidth="1"/>
    <col min="9" max="9" width="12.140625" bestFit="1" customWidth="1"/>
    <col min="10" max="10" width="10.5703125" bestFit="1" customWidth="1"/>
  </cols>
  <sheetData>
    <row r="1" spans="1:15" x14ac:dyDescent="0.25">
      <c r="A1" s="3"/>
    </row>
    <row r="2" spans="1:15" x14ac:dyDescent="0.25">
      <c r="C2" s="1" t="s">
        <v>8</v>
      </c>
      <c r="D2" s="19" t="s">
        <v>12</v>
      </c>
      <c r="E2" s="20" t="s">
        <v>0</v>
      </c>
      <c r="G2" s="10" t="s">
        <v>10</v>
      </c>
      <c r="H2" s="11"/>
      <c r="I2" s="9" t="s">
        <v>11</v>
      </c>
      <c r="J2" s="15"/>
      <c r="N2" s="5"/>
    </row>
    <row r="3" spans="1:15" x14ac:dyDescent="0.25">
      <c r="C3" s="21" t="s">
        <v>21</v>
      </c>
      <c r="D3" s="2">
        <v>17</v>
      </c>
      <c r="E3" s="2">
        <v>112000001</v>
      </c>
      <c r="F3" s="5"/>
      <c r="G3" s="9">
        <v>102000002</v>
      </c>
      <c r="H3" s="12">
        <v>14</v>
      </c>
      <c r="I3" s="9">
        <v>112000001</v>
      </c>
      <c r="J3" s="16">
        <v>414</v>
      </c>
      <c r="N3" s="5"/>
      <c r="O3" s="6"/>
    </row>
    <row r="4" spans="1:15" x14ac:dyDescent="0.25">
      <c r="D4" s="2">
        <v>17</v>
      </c>
      <c r="E4" s="2">
        <v>151900001</v>
      </c>
      <c r="F4" s="5"/>
      <c r="G4" s="7">
        <v>102000002</v>
      </c>
      <c r="H4" s="13">
        <v>17</v>
      </c>
      <c r="I4" s="7">
        <v>112000001</v>
      </c>
      <c r="J4" s="17">
        <v>414</v>
      </c>
      <c r="N4" s="5"/>
      <c r="O4" s="6"/>
    </row>
    <row r="5" spans="1:15" x14ac:dyDescent="0.25">
      <c r="D5" s="2">
        <v>17</v>
      </c>
      <c r="E5" s="2">
        <v>152000001</v>
      </c>
      <c r="F5" s="5"/>
      <c r="G5" s="7">
        <v>102000002</v>
      </c>
      <c r="H5" s="13">
        <v>68</v>
      </c>
      <c r="I5" s="7">
        <v>112000001</v>
      </c>
      <c r="J5" s="17">
        <v>68</v>
      </c>
      <c r="N5" s="5"/>
      <c r="O5" s="6"/>
    </row>
    <row r="6" spans="1:15" x14ac:dyDescent="0.25">
      <c r="D6" s="2"/>
      <c r="E6" s="2"/>
      <c r="G6" s="8"/>
      <c r="H6" s="13"/>
      <c r="I6" s="7"/>
      <c r="J6" s="17"/>
      <c r="N6" s="5"/>
      <c r="O6" s="6"/>
    </row>
    <row r="7" spans="1:15" x14ac:dyDescent="0.25">
      <c r="D7" s="2"/>
      <c r="E7" s="2"/>
      <c r="F7" s="5"/>
      <c r="G7" s="8"/>
      <c r="H7" s="13"/>
      <c r="I7" s="7"/>
      <c r="J7" s="17"/>
      <c r="N7" s="5"/>
      <c r="O7" s="6"/>
    </row>
    <row r="8" spans="1:15" x14ac:dyDescent="0.25">
      <c r="D8" s="2"/>
      <c r="E8" s="2"/>
      <c r="G8" s="8"/>
      <c r="H8" s="14"/>
      <c r="I8" s="7"/>
      <c r="J8" s="18"/>
      <c r="N8" s="5"/>
      <c r="O8" s="6"/>
    </row>
    <row r="9" spans="1:15" x14ac:dyDescent="0.25">
      <c r="D9" s="2"/>
      <c r="E9" s="2"/>
      <c r="G9" s="8"/>
      <c r="H9" s="14"/>
      <c r="I9" s="8"/>
      <c r="J9" s="14"/>
    </row>
    <row r="10" spans="1:15" x14ac:dyDescent="0.25">
      <c r="D10" s="2"/>
      <c r="E10" s="2"/>
      <c r="G10" s="8"/>
      <c r="H10" s="14"/>
      <c r="I10" s="8"/>
      <c r="J10" s="14"/>
    </row>
    <row r="11" spans="1:15" x14ac:dyDescent="0.25">
      <c r="D11" s="2"/>
      <c r="E11" s="2"/>
      <c r="G11" s="8"/>
      <c r="H11" s="14"/>
      <c r="I11" s="8"/>
      <c r="J11" s="14"/>
    </row>
    <row r="12" spans="1:15" x14ac:dyDescent="0.25">
      <c r="D12" s="2"/>
      <c r="E12" s="2"/>
      <c r="G12" s="8"/>
      <c r="H12" s="14"/>
      <c r="I12" s="8"/>
      <c r="J12" s="14"/>
    </row>
    <row r="13" spans="1:15" x14ac:dyDescent="0.25">
      <c r="C13" s="1" t="s">
        <v>9</v>
      </c>
    </row>
    <row r="14" spans="1:15" x14ac:dyDescent="0.25">
      <c r="C14" s="22">
        <v>20</v>
      </c>
    </row>
    <row r="15" spans="1:15" x14ac:dyDescent="0.25">
      <c r="C15" s="1" t="s">
        <v>13</v>
      </c>
    </row>
    <row r="16" spans="1:15" x14ac:dyDescent="0.25">
      <c r="C16" s="23">
        <v>26</v>
      </c>
    </row>
    <row r="19" spans="1:1" x14ac:dyDescent="0.25">
      <c r="A19" t="s">
        <v>20</v>
      </c>
    </row>
  </sheetData>
  <scenarios current="0">
    <scenario name="Optimal Purchase" count="7" user="Jais Astrup" comment="Created by Jais Astrup on 11/12/2019">
      <inputCells r="J2" val="318"/>
      <inputCells r="J3" val="139"/>
      <inputCells r="J4" val="28"/>
      <inputCells r="J5" val="56"/>
      <inputCells r="J6" val="44"/>
      <inputCells r="J7" val="74"/>
      <inputCells r="J8" val="341"/>
    </scenario>
  </scenario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datatest">
                <anchor moveWithCells="1" sizeWithCells="1">
                  <from>
                    <xdr:col>0</xdr:col>
                    <xdr:colOff>0</xdr:colOff>
                    <xdr:row>1</xdr:row>
                    <xdr:rowOff>9525</xdr:rowOff>
                  </from>
                  <to>
                    <xdr:col>2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rphData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2</xdr:col>
                    <xdr:colOff>9525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ttingUpStock">
                <anchor moveWithCells="1" sizeWithCells="1">
                  <from>
                    <xdr:col>0</xdr:col>
                    <xdr:colOff>0</xdr:colOff>
                    <xdr:row>6</xdr:row>
                    <xdr:rowOff>180975</xdr:rowOff>
                  </from>
                  <to>
                    <xdr:col>2</xdr:col>
                    <xdr:colOff>9525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gressionData">
                <anchor moveWithCells="1" siz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2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_xludf.Forecast">
                <anchor moveWithCells="1" sizeWithCells="1">
                  <from>
                    <xdr:col>0</xdr:col>
                    <xdr:colOff>0</xdr:colOff>
                    <xdr:row>13</xdr:row>
                    <xdr:rowOff>9525</xdr:rowOff>
                  </from>
                  <to>
                    <xdr:col>2</xdr:col>
                    <xdr:colOff>9525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CC52A-3D65-4584-9E0D-9AB2E1C04CB8}">
  <sheetPr codeName="Sheet6"/>
  <dimension ref="A1:L101"/>
  <sheetViews>
    <sheetView zoomScaleNormal="100" workbookViewId="0">
      <selection activeCell="G14" sqref="G14"/>
    </sheetView>
  </sheetViews>
  <sheetFormatPr defaultRowHeight="15" x14ac:dyDescent="0.25"/>
  <cols>
    <col min="3" max="3" width="10" bestFit="1" customWidth="1"/>
    <col min="4" max="4" width="5.7109375" bestFit="1" customWidth="1"/>
    <col min="5" max="5" width="31.5703125" bestFit="1" customWidth="1"/>
    <col min="8" max="8" width="10" bestFit="1" customWidth="1"/>
    <col min="10" max="10" width="12" bestFit="1" customWidth="1"/>
  </cols>
  <sheetData>
    <row r="1" spans="3:12" x14ac:dyDescent="0.25">
      <c r="C1" t="s">
        <v>14</v>
      </c>
      <c r="D1" t="s">
        <v>15</v>
      </c>
      <c r="E1" t="s">
        <v>16</v>
      </c>
      <c r="H1">
        <v>151900001</v>
      </c>
      <c r="I1">
        <v>62</v>
      </c>
    </row>
    <row r="2" spans="3:12" x14ac:dyDescent="0.25">
      <c r="C2" s="5">
        <v>112000001</v>
      </c>
      <c r="D2" s="5">
        <v>10</v>
      </c>
      <c r="E2" s="5">
        <v>17</v>
      </c>
      <c r="G2">
        <v>0.61622333166516186</v>
      </c>
      <c r="H2">
        <v>45</v>
      </c>
      <c r="I2" t="s">
        <v>1</v>
      </c>
      <c r="J2">
        <v>201</v>
      </c>
      <c r="L2">
        <f>(H2+J2)/G2</f>
        <v>399.20591668487714</v>
      </c>
    </row>
    <row r="3" spans="3:12" x14ac:dyDescent="0.25">
      <c r="C3" s="4">
        <v>112000001</v>
      </c>
      <c r="D3" s="4">
        <v>19</v>
      </c>
      <c r="E3" s="4">
        <v>16</v>
      </c>
      <c r="G3">
        <v>0.38955259981550999</v>
      </c>
      <c r="H3">
        <v>26</v>
      </c>
      <c r="I3" t="s">
        <v>5</v>
      </c>
      <c r="J3">
        <v>130</v>
      </c>
      <c r="L3">
        <f t="shared" ref="L3:L8" si="0">(H3+J3)/G3</f>
        <v>400.45939899741592</v>
      </c>
    </row>
    <row r="4" spans="3:12" x14ac:dyDescent="0.25">
      <c r="C4" s="5">
        <v>112000001</v>
      </c>
      <c r="D4" s="5">
        <v>68</v>
      </c>
      <c r="E4" s="5">
        <v>19</v>
      </c>
      <c r="G4">
        <v>0.21092198004062304</v>
      </c>
      <c r="H4">
        <v>18</v>
      </c>
      <c r="I4" t="s">
        <v>6</v>
      </c>
      <c r="J4">
        <v>67</v>
      </c>
      <c r="L4">
        <f t="shared" si="0"/>
        <v>402.99261358929596</v>
      </c>
    </row>
    <row r="5" spans="3:12" x14ac:dyDescent="0.25">
      <c r="C5" s="4">
        <v>112000001</v>
      </c>
      <c r="D5" s="4">
        <v>414</v>
      </c>
      <c r="E5" s="4">
        <v>0</v>
      </c>
      <c r="G5">
        <v>0.88894502075691617</v>
      </c>
      <c r="H5">
        <v>135</v>
      </c>
      <c r="I5" t="s">
        <v>3</v>
      </c>
      <c r="J5">
        <v>220</v>
      </c>
      <c r="L5">
        <f t="shared" si="0"/>
        <v>399.34978171960029</v>
      </c>
    </row>
    <row r="6" spans="3:12" x14ac:dyDescent="0.25">
      <c r="C6" s="4">
        <v>151900001</v>
      </c>
      <c r="D6" s="4">
        <v>13</v>
      </c>
      <c r="E6" s="4">
        <v>14</v>
      </c>
      <c r="G6">
        <v>0.48622006058191825</v>
      </c>
      <c r="H6">
        <v>83</v>
      </c>
      <c r="I6" t="s">
        <v>4</v>
      </c>
      <c r="J6">
        <v>111</v>
      </c>
      <c r="L6">
        <f t="shared" si="0"/>
        <v>398.99628939171447</v>
      </c>
    </row>
    <row r="7" spans="3:12" x14ac:dyDescent="0.25">
      <c r="C7" s="4">
        <v>151900001</v>
      </c>
      <c r="D7" s="4">
        <v>19</v>
      </c>
      <c r="E7" s="4">
        <v>0</v>
      </c>
      <c r="G7">
        <v>0.10880792422811079</v>
      </c>
      <c r="H7">
        <v>20</v>
      </c>
      <c r="I7" t="s">
        <v>7</v>
      </c>
      <c r="J7">
        <v>24</v>
      </c>
      <c r="L7">
        <f t="shared" si="0"/>
        <v>404.3823123374363</v>
      </c>
    </row>
    <row r="8" spans="3:12" x14ac:dyDescent="0.25">
      <c r="C8" s="4">
        <v>151900001</v>
      </c>
      <c r="D8" s="4">
        <v>62</v>
      </c>
      <c r="E8" s="4">
        <v>5</v>
      </c>
      <c r="G8">
        <v>0.92340234661992215</v>
      </c>
      <c r="H8">
        <v>121</v>
      </c>
      <c r="I8" t="s">
        <v>2</v>
      </c>
      <c r="J8">
        <v>247</v>
      </c>
      <c r="L8">
        <f t="shared" si="0"/>
        <v>398.52616938547914</v>
      </c>
    </row>
    <row r="9" spans="3:12" x14ac:dyDescent="0.25">
      <c r="C9" s="4">
        <v>151900001</v>
      </c>
      <c r="D9" s="4">
        <v>63</v>
      </c>
      <c r="E9" s="4">
        <v>5</v>
      </c>
    </row>
    <row r="10" spans="3:12" x14ac:dyDescent="0.25">
      <c r="C10" s="4">
        <v>151900001</v>
      </c>
      <c r="D10" s="4">
        <v>68</v>
      </c>
      <c r="E10" s="4">
        <v>12</v>
      </c>
    </row>
    <row r="11" spans="3:12" x14ac:dyDescent="0.25">
      <c r="C11" s="4">
        <v>151900001</v>
      </c>
      <c r="D11" s="4">
        <v>416</v>
      </c>
      <c r="E11" s="4">
        <v>0</v>
      </c>
      <c r="G11" t="s">
        <v>22</v>
      </c>
    </row>
    <row r="12" spans="3:12" x14ac:dyDescent="0.25">
      <c r="C12" s="4">
        <v>152000001</v>
      </c>
      <c r="D12" s="4">
        <v>19</v>
      </c>
      <c r="E12" s="4">
        <v>13</v>
      </c>
      <c r="G12" s="4">
        <v>1000</v>
      </c>
      <c r="J12">
        <f>SUM(J2:J11)</f>
        <v>1000</v>
      </c>
      <c r="L12">
        <f>MIN(L2:L11)</f>
        <v>398.52616938547914</v>
      </c>
    </row>
    <row r="13" spans="3:12" x14ac:dyDescent="0.25">
      <c r="C13" s="5">
        <v>152000001</v>
      </c>
      <c r="D13" s="5">
        <v>68</v>
      </c>
      <c r="E13" s="5">
        <v>23</v>
      </c>
    </row>
    <row r="14" spans="3:12" x14ac:dyDescent="0.25">
      <c r="C14" s="5"/>
      <c r="D14" s="5"/>
      <c r="E14" s="5"/>
    </row>
    <row r="15" spans="3:12" x14ac:dyDescent="0.25">
      <c r="C15" s="5"/>
      <c r="D15" s="5"/>
      <c r="E15" s="5"/>
    </row>
    <row r="16" spans="3:12" x14ac:dyDescent="0.25">
      <c r="C16" s="5"/>
      <c r="D16" s="5"/>
      <c r="E16" s="5"/>
    </row>
    <row r="17" spans="1:5" x14ac:dyDescent="0.25">
      <c r="C17" s="5"/>
      <c r="D17" s="5"/>
      <c r="E17" s="5"/>
    </row>
    <row r="18" spans="1:5" x14ac:dyDescent="0.25">
      <c r="A18" t="s">
        <v>17</v>
      </c>
      <c r="C18" s="5"/>
      <c r="D18" s="5"/>
      <c r="E18" s="5"/>
    </row>
    <row r="19" spans="1:5" x14ac:dyDescent="0.25">
      <c r="A19" t="s">
        <v>18</v>
      </c>
      <c r="C19" s="5"/>
      <c r="D19" s="5"/>
      <c r="E19" s="5"/>
    </row>
    <row r="20" spans="1:5" x14ac:dyDescent="0.25">
      <c r="A20" t="s">
        <v>19</v>
      </c>
      <c r="C20" s="5"/>
      <c r="D20" s="5"/>
      <c r="E20" s="5"/>
    </row>
    <row r="21" spans="1:5" x14ac:dyDescent="0.25">
      <c r="C21" s="5"/>
      <c r="D21" s="5"/>
      <c r="E21" s="5"/>
    </row>
    <row r="22" spans="1:5" x14ac:dyDescent="0.25">
      <c r="C22" s="5"/>
      <c r="D22" s="5"/>
      <c r="E22" s="5"/>
    </row>
    <row r="23" spans="1:5" x14ac:dyDescent="0.25">
      <c r="C23" s="5"/>
      <c r="D23" s="5"/>
      <c r="E23" s="5"/>
    </row>
    <row r="24" spans="1:5" x14ac:dyDescent="0.25">
      <c r="C24" s="5"/>
      <c r="D24" s="5"/>
      <c r="E24" s="5"/>
    </row>
    <row r="25" spans="1:5" x14ac:dyDescent="0.25">
      <c r="C25" s="5"/>
      <c r="D25" s="5"/>
      <c r="E25" s="5"/>
    </row>
    <row r="26" spans="1:5" x14ac:dyDescent="0.25">
      <c r="C26" s="5"/>
      <c r="D26" s="5"/>
      <c r="E26" s="5"/>
    </row>
    <row r="27" spans="1:5" x14ac:dyDescent="0.25">
      <c r="C27" s="5"/>
      <c r="D27" s="5"/>
      <c r="E27" s="5"/>
    </row>
    <row r="28" spans="1:5" x14ac:dyDescent="0.25">
      <c r="C28" s="5"/>
      <c r="D28" s="5"/>
      <c r="E28" s="5"/>
    </row>
    <row r="29" spans="1:5" x14ac:dyDescent="0.25">
      <c r="C29" s="5"/>
      <c r="D29" s="5"/>
      <c r="E29" s="5"/>
    </row>
    <row r="30" spans="1:5" x14ac:dyDescent="0.25">
      <c r="C30" s="5"/>
      <c r="D30" s="5"/>
      <c r="E30" s="5"/>
    </row>
    <row r="31" spans="1:5" x14ac:dyDescent="0.25">
      <c r="C31" s="5"/>
      <c r="D31" s="5"/>
      <c r="E31" s="5"/>
    </row>
    <row r="32" spans="1:5" x14ac:dyDescent="0.25">
      <c r="C32" s="5"/>
      <c r="D32" s="5"/>
      <c r="E32" s="5"/>
    </row>
    <row r="33" spans="3:5" x14ac:dyDescent="0.25">
      <c r="C33" s="5"/>
      <c r="D33" s="5"/>
      <c r="E33" s="5"/>
    </row>
    <row r="34" spans="3:5" x14ac:dyDescent="0.25">
      <c r="C34" s="5"/>
      <c r="D34" s="5"/>
      <c r="E34" s="5"/>
    </row>
    <row r="35" spans="3:5" x14ac:dyDescent="0.25">
      <c r="C35" s="5"/>
      <c r="D35" s="5"/>
      <c r="E35" s="5"/>
    </row>
    <row r="36" spans="3:5" x14ac:dyDescent="0.25">
      <c r="C36" s="5"/>
      <c r="D36" s="5"/>
      <c r="E36" s="5"/>
    </row>
    <row r="37" spans="3:5" x14ac:dyDescent="0.25">
      <c r="C37" s="5"/>
      <c r="D37" s="5"/>
      <c r="E37" s="5"/>
    </row>
    <row r="38" spans="3:5" x14ac:dyDescent="0.25">
      <c r="C38" s="5"/>
      <c r="D38" s="5"/>
      <c r="E38" s="5"/>
    </row>
    <row r="39" spans="3:5" x14ac:dyDescent="0.25">
      <c r="C39" s="5"/>
      <c r="D39" s="5"/>
      <c r="E39" s="5"/>
    </row>
    <row r="40" spans="3:5" x14ac:dyDescent="0.25">
      <c r="C40" s="5"/>
      <c r="D40" s="5"/>
      <c r="E40" s="5"/>
    </row>
    <row r="41" spans="3:5" x14ac:dyDescent="0.25">
      <c r="C41" s="5"/>
      <c r="D41" s="5"/>
      <c r="E41" s="5"/>
    </row>
    <row r="42" spans="3:5" x14ac:dyDescent="0.25">
      <c r="C42" s="5"/>
      <c r="D42" s="5"/>
      <c r="E42" s="5"/>
    </row>
    <row r="43" spans="3:5" x14ac:dyDescent="0.25">
      <c r="C43" s="5"/>
      <c r="D43" s="5"/>
      <c r="E43" s="5"/>
    </row>
    <row r="44" spans="3:5" x14ac:dyDescent="0.25">
      <c r="C44" s="5"/>
      <c r="D44" s="5"/>
      <c r="E44" s="5"/>
    </row>
    <row r="45" spans="3:5" x14ac:dyDescent="0.25">
      <c r="C45" s="5"/>
      <c r="D45" s="5"/>
      <c r="E45" s="5"/>
    </row>
    <row r="46" spans="3:5" x14ac:dyDescent="0.25">
      <c r="C46" s="5"/>
      <c r="D46" s="5"/>
      <c r="E46" s="5"/>
    </row>
    <row r="47" spans="3:5" x14ac:dyDescent="0.25">
      <c r="C47" s="5"/>
      <c r="D47" s="5"/>
      <c r="E47" s="5"/>
    </row>
    <row r="48" spans="3:5" x14ac:dyDescent="0.25">
      <c r="C48" s="5"/>
      <c r="D48" s="5"/>
      <c r="E48" s="5"/>
    </row>
    <row r="49" spans="3:5" x14ac:dyDescent="0.25">
      <c r="C49" s="5"/>
      <c r="D49" s="5"/>
      <c r="E49" s="5"/>
    </row>
    <row r="50" spans="3:5" x14ac:dyDescent="0.25">
      <c r="C50" s="5"/>
      <c r="D50" s="5"/>
      <c r="E50" s="5"/>
    </row>
    <row r="51" spans="3:5" x14ac:dyDescent="0.25">
      <c r="C51" s="5"/>
      <c r="D51" s="5"/>
      <c r="E51" s="5"/>
    </row>
    <row r="52" spans="3:5" x14ac:dyDescent="0.25">
      <c r="C52" s="5"/>
      <c r="D52" s="5"/>
      <c r="E52" s="5"/>
    </row>
    <row r="53" spans="3:5" x14ac:dyDescent="0.25">
      <c r="C53" s="5"/>
      <c r="D53" s="5"/>
      <c r="E53" s="5"/>
    </row>
    <row r="54" spans="3:5" x14ac:dyDescent="0.25">
      <c r="C54" s="5"/>
      <c r="D54" s="5"/>
      <c r="E54" s="5"/>
    </row>
    <row r="55" spans="3:5" x14ac:dyDescent="0.25">
      <c r="C55" s="5"/>
      <c r="D55" s="5"/>
      <c r="E55" s="5"/>
    </row>
    <row r="56" spans="3:5" x14ac:dyDescent="0.25">
      <c r="C56" s="5"/>
      <c r="D56" s="5"/>
      <c r="E56" s="5"/>
    </row>
    <row r="57" spans="3:5" x14ac:dyDescent="0.25">
      <c r="C57" s="5"/>
      <c r="D57" s="5"/>
      <c r="E57" s="5"/>
    </row>
    <row r="58" spans="3:5" x14ac:dyDescent="0.25">
      <c r="C58" s="5"/>
      <c r="D58" s="5"/>
      <c r="E58" s="5"/>
    </row>
    <row r="59" spans="3:5" x14ac:dyDescent="0.25">
      <c r="C59" s="5"/>
      <c r="D59" s="5"/>
      <c r="E59" s="5"/>
    </row>
    <row r="60" spans="3:5" x14ac:dyDescent="0.25">
      <c r="C60" s="5"/>
      <c r="D60" s="5"/>
      <c r="E60" s="5"/>
    </row>
    <row r="61" spans="3:5" x14ac:dyDescent="0.25">
      <c r="C61" s="5"/>
      <c r="D61" s="5"/>
      <c r="E61" s="5"/>
    </row>
    <row r="62" spans="3:5" x14ac:dyDescent="0.25">
      <c r="C62" s="5"/>
      <c r="D62" s="5"/>
      <c r="E62" s="5"/>
    </row>
    <row r="63" spans="3:5" x14ac:dyDescent="0.25">
      <c r="C63" s="5"/>
      <c r="D63" s="5"/>
      <c r="E63" s="5"/>
    </row>
    <row r="64" spans="3:5" x14ac:dyDescent="0.25">
      <c r="C64" s="5"/>
      <c r="D64" s="5"/>
      <c r="E64" s="5"/>
    </row>
    <row r="65" spans="3:5" x14ac:dyDescent="0.25">
      <c r="C65" s="5"/>
      <c r="D65" s="5"/>
      <c r="E65" s="5"/>
    </row>
    <row r="66" spans="3:5" x14ac:dyDescent="0.25">
      <c r="C66" s="5"/>
      <c r="D66" s="5"/>
      <c r="E66" s="5"/>
    </row>
    <row r="67" spans="3:5" x14ac:dyDescent="0.25">
      <c r="C67" s="5"/>
      <c r="D67" s="5"/>
      <c r="E67" s="5"/>
    </row>
    <row r="68" spans="3:5" x14ac:dyDescent="0.25">
      <c r="C68" s="5"/>
      <c r="D68" s="5"/>
      <c r="E68" s="5"/>
    </row>
    <row r="69" spans="3:5" x14ac:dyDescent="0.25">
      <c r="C69" s="5"/>
      <c r="D69" s="5"/>
      <c r="E69" s="5"/>
    </row>
    <row r="70" spans="3:5" x14ac:dyDescent="0.25">
      <c r="C70" s="5"/>
      <c r="D70" s="5"/>
      <c r="E70" s="5"/>
    </row>
    <row r="71" spans="3:5" x14ac:dyDescent="0.25">
      <c r="C71" s="5"/>
      <c r="D71" s="5"/>
      <c r="E71" s="5"/>
    </row>
    <row r="72" spans="3:5" x14ac:dyDescent="0.25">
      <c r="C72" s="5"/>
      <c r="D72" s="5"/>
      <c r="E72" s="5"/>
    </row>
    <row r="73" spans="3:5" x14ac:dyDescent="0.25">
      <c r="C73" s="5"/>
      <c r="D73" s="5"/>
      <c r="E73" s="5"/>
    </row>
    <row r="74" spans="3:5" x14ac:dyDescent="0.25">
      <c r="C74" s="5"/>
      <c r="D74" s="5"/>
      <c r="E74" s="5"/>
    </row>
    <row r="75" spans="3:5" x14ac:dyDescent="0.25">
      <c r="C75" s="5"/>
      <c r="D75" s="5"/>
      <c r="E75" s="5"/>
    </row>
    <row r="76" spans="3:5" x14ac:dyDescent="0.25">
      <c r="C76" s="5"/>
      <c r="D76" s="5"/>
      <c r="E76" s="5"/>
    </row>
    <row r="77" spans="3:5" x14ac:dyDescent="0.25">
      <c r="C77" s="5"/>
      <c r="D77" s="5"/>
      <c r="E77" s="5"/>
    </row>
    <row r="78" spans="3:5" x14ac:dyDescent="0.25">
      <c r="C78" s="5"/>
      <c r="D78" s="5"/>
      <c r="E78" s="5"/>
    </row>
    <row r="79" spans="3:5" x14ac:dyDescent="0.25">
      <c r="C79" s="5"/>
      <c r="D79" s="5"/>
      <c r="E79" s="5"/>
    </row>
    <row r="80" spans="3:5" x14ac:dyDescent="0.25">
      <c r="C80" s="5"/>
      <c r="D80" s="5"/>
      <c r="E80" s="5"/>
    </row>
    <row r="81" spans="3:5" x14ac:dyDescent="0.25">
      <c r="C81" s="5"/>
      <c r="D81" s="5"/>
      <c r="E81" s="5"/>
    </row>
    <row r="82" spans="3:5" x14ac:dyDescent="0.25">
      <c r="C82" s="5"/>
      <c r="D82" s="5"/>
      <c r="E82" s="5"/>
    </row>
    <row r="83" spans="3:5" x14ac:dyDescent="0.25">
      <c r="C83" s="5"/>
      <c r="D83" s="5"/>
      <c r="E83" s="5"/>
    </row>
    <row r="84" spans="3:5" x14ac:dyDescent="0.25">
      <c r="C84" s="5"/>
      <c r="D84" s="5"/>
      <c r="E84" s="5"/>
    </row>
    <row r="85" spans="3:5" x14ac:dyDescent="0.25">
      <c r="C85" s="5"/>
      <c r="D85" s="5"/>
      <c r="E85" s="5"/>
    </row>
    <row r="86" spans="3:5" x14ac:dyDescent="0.25">
      <c r="C86" s="5"/>
      <c r="D86" s="5"/>
      <c r="E86" s="5"/>
    </row>
    <row r="87" spans="3:5" x14ac:dyDescent="0.25">
      <c r="C87" s="5"/>
      <c r="D87" s="5"/>
      <c r="E87" s="5"/>
    </row>
    <row r="88" spans="3:5" x14ac:dyDescent="0.25">
      <c r="C88" s="5"/>
      <c r="D88" s="5"/>
      <c r="E88" s="5"/>
    </row>
    <row r="89" spans="3:5" x14ac:dyDescent="0.25">
      <c r="C89" s="5"/>
      <c r="D89" s="5"/>
      <c r="E89" s="5"/>
    </row>
    <row r="90" spans="3:5" x14ac:dyDescent="0.25">
      <c r="C90" s="5"/>
      <c r="D90" s="5"/>
      <c r="E90" s="5"/>
    </row>
    <row r="91" spans="3:5" x14ac:dyDescent="0.25">
      <c r="C91" s="5"/>
      <c r="D91" s="5"/>
      <c r="E91" s="5"/>
    </row>
    <row r="92" spans="3:5" x14ac:dyDescent="0.25">
      <c r="C92" s="5"/>
      <c r="D92" s="5"/>
      <c r="E92" s="5"/>
    </row>
    <row r="93" spans="3:5" x14ac:dyDescent="0.25">
      <c r="C93" s="5"/>
      <c r="D93" s="5"/>
      <c r="E93" s="5"/>
    </row>
    <row r="94" spans="3:5" x14ac:dyDescent="0.25">
      <c r="C94" s="5"/>
      <c r="D94" s="5"/>
      <c r="E94" s="5"/>
    </row>
    <row r="95" spans="3:5" x14ac:dyDescent="0.25">
      <c r="C95" s="5"/>
      <c r="D95" s="5"/>
      <c r="E95" s="5"/>
    </row>
    <row r="96" spans="3:5" x14ac:dyDescent="0.25">
      <c r="C96" s="5"/>
      <c r="D96" s="5"/>
      <c r="E96" s="5"/>
    </row>
    <row r="97" spans="3:5" x14ac:dyDescent="0.25">
      <c r="C97" s="5"/>
      <c r="D97" s="5"/>
      <c r="E97" s="5"/>
    </row>
    <row r="98" spans="3:5" x14ac:dyDescent="0.25">
      <c r="C98" s="5"/>
      <c r="D98" s="5"/>
      <c r="E98" s="5"/>
    </row>
    <row r="99" spans="3:5" x14ac:dyDescent="0.25">
      <c r="C99" s="5"/>
      <c r="D99" s="5"/>
      <c r="E99" s="5"/>
    </row>
    <row r="100" spans="3:5" x14ac:dyDescent="0.25">
      <c r="C100" s="5"/>
      <c r="D100" s="5"/>
      <c r="E100" s="5"/>
    </row>
    <row r="101" spans="3:5" x14ac:dyDescent="0.25">
      <c r="C101" s="5"/>
      <c r="D101" s="5"/>
      <c r="E101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Button 3">
              <controlPr defaultSize="0" print="0" autoFill="0" autoPict="0" macro="[0]!ExtractingStock">
                <anchor moveWithCells="1" sizeWithCells="1">
                  <from>
                    <xdr:col>0</xdr:col>
                    <xdr:colOff>9525</xdr:colOff>
                    <xdr:row>5</xdr:row>
                    <xdr:rowOff>9525</xdr:rowOff>
                  </from>
                  <to>
                    <xdr:col>2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DetermineOptimalPurchase">
                <anchor moveWithCells="1" sizeWithCells="1">
                  <from>
                    <xdr:col>0</xdr:col>
                    <xdr:colOff>0</xdr:colOff>
                    <xdr:row>7</xdr:row>
                    <xdr:rowOff>171450</xdr:rowOff>
                  </from>
                  <to>
                    <xdr:col>1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PurchaseStrategy">
                <anchor moveWithCells="1" sizeWithCells="1">
                  <from>
                    <xdr:col>0</xdr:col>
                    <xdr:colOff>9525</xdr:colOff>
                    <xdr:row>2</xdr:row>
                    <xdr:rowOff>9525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56568CB-CE2D-4176-8AD7-28CAAD7A36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Command</vt:lpstr>
      <vt:lpstr>Solver</vt:lpstr>
      <vt:lpstr>Command!Criteria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Jais Astrup</dc:creator>
  <cp:lastModifiedBy>Jais Astrup</cp:lastModifiedBy>
  <dcterms:created xsi:type="dcterms:W3CDTF">2019-11-06T09:05:26Z</dcterms:created>
  <dcterms:modified xsi:type="dcterms:W3CDTF">2019-11-14T19:25:16Z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et Reports Function Literals">
    <vt:lpwstr>\	;	;	{	}	[@[{0}]]	1030</vt:lpwstr>
  </property>
</Properties>
</file>